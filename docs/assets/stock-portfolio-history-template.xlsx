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a8f13f107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fed16256b14463a"/>
    <x:sheet xmlns:r="http://schemas.openxmlformats.org/officeDocument/2006/relationships" name="일별총액" sheetId="2" r:id="R858cbd212ab74b58"/>
    <x:sheet xmlns:r="http://schemas.openxmlformats.org/officeDocument/2006/relationships" name="종목별기록" sheetId="3" r:id="Rff8ebf1dae46487b"/>
    <x:sheet xmlns:r="http://schemas.openxmlformats.org/officeDocument/2006/relationships" name="최근보유종목" sheetId="4" r:id="Rc35d48ce57fd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#,##0;(#,##0);&quot;-&quot;"/>
    <x:numFmt numFmtId="202" formatCode="#,##0.00"/>
    <x:numFmt numFmtId="203" formatCode="0.0000"/>
    <x:numFmt numFmtId="204" formatCode="0"/>
    <x:numFmt numFmtId="205" formatCode="0.########"/>
    <x:numFmt numFmtId="206" formatCode="0.0%"/>
    <x:numFmt numFmtId="207" formatCode="@"/>
  </x:numFmts>
  <x:fonts count="6">
    <x:font>
      <x:sz val="11"/>
      <x:name val="Carlito"/>
    </x:font>
    <x:font>
      <x:sz val="10"/>
      <x:color rgb="FF152B4F"/>
      <x:name val="NanumGothic"/>
    </x:font>
    <x:font>
      <x:b/>
      <x:sz val="16"/>
      <x:color rgb="FF152B4F"/>
      <x:name val="NanumGothic"/>
    </x:font>
    <x:font>
      <x:b/>
      <x:sz val="14"/>
      <x:color rgb="FF152B4F"/>
      <x:name val="NanumGothic"/>
    </x:font>
    <x:font>
      <x:i/>
      <x:sz val="10"/>
      <x:color rgb="FF52677E"/>
      <x:name val="NanumGothic"/>
    </x:font>
    <x:font>
      <x:b/>
      <x:sz val="10"/>
      <x:color rgb="FFFFFFFF"/>
      <x:name val="Nanum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52B4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BA1BD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fad5a2e0c4d43" /><Relationship Type="http://schemas.openxmlformats.org/officeDocument/2006/relationships/theme" Target="/xl/theme/theme1.xml" Id="R3bf529bf4ffc44bc" /><Relationship Type="http://schemas.openxmlformats.org/officeDocument/2006/relationships/sharedStrings" Target="/xl/sharedStrings.xml" Id="R0aab11fb21ed4639" /><Relationship Type="http://schemas.openxmlformats.org/officeDocument/2006/relationships/worksheet" Target="/xl/worksheets/sheet1.xml" Id="R3fed16256b14463a" /><Relationship Type="http://schemas.openxmlformats.org/officeDocument/2006/relationships/worksheet" Target="/xl/worksheets/sheet2.xml" Id="R858cbd212ab74b58" /><Relationship Type="http://schemas.openxmlformats.org/officeDocument/2006/relationships/worksheet" Target="/xl/worksheets/sheet3.xml" Id="Rff8ebf1dae46487b" /><Relationship Type="http://schemas.openxmlformats.org/officeDocument/2006/relationships/worksheet" Target="/xl/worksheets/sheet4.xml" Id="Rc35d48ce57fd41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be17fac15146b7" /><Relationship Type="http://schemas.openxmlformats.org/officeDocument/2006/relationships/chart" Target="/xl/drawings/charts/chart2.xml" Id="R246005260c994a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총 보유자산 추이 (KRW)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총 보유자산 (KRW)</c:v>
          </c:tx>
          <c:spPr>
            <a:ln xmlns:a="http://schemas.openxmlformats.org/drawingml/2006/main" w="19050">
              <a:solidFill>
                <a:srgbClr val="2C65C8"/>
              </a:solidFill>
              <a:prstDash val="solid"/>
            </a:ln>
          </c:spPr>
          <c:marker>
            <c:symbol val="none"/>
          </c:marker>
          <c:cat>
            <c:strRef>
              <c:f>'일별총액'!$K$2:$K$8</c:f>
              <c:strCache>
                <c:ptCount val="0"/>
              </c:strCache>
            </c:strRef>
          </c:cat>
          <c:val>
            <c:numRef>
              <c:f>'일별총액'!$F$2:$F$8</c:f>
              <c:numCache>
                <c:formatCode>#,##0;(#,##0);"-"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,&quot;백만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NanumGothic"/>
                <a:ea typeface="NanumGothic"/>
                <a:cs typeface="NanumGothic"/>
              </a:rPr>
              <a:t>최근 보유종목 금액 (KRW, 상위 10개)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NanumGothic"/>
              <a:ea typeface="NanumGothic"/>
              <a:cs typeface="Nanum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원화 환산금액</c:v>
          </c:tx>
          <c:spPr>
            <a:solidFill xmlns:a="http://schemas.openxmlformats.org/drawingml/2006/main">
              <a:srgbClr val="2C65C8"/>
            </a:solidFill>
          </c:spPr>
          <c:cat>
            <c:strRef>
              <c:f>'최근보유종목'!$E$2:$E$5</c:f>
              <c:strCache>
                <c:ptCount val="0"/>
              </c:strCache>
            </c:strRef>
          </c:cat>
          <c:val>
            <c:numRef>
              <c:f>'최근보유종목'!$O$2:$O$5</c:f>
              <c:numCache>
                <c:formatCode>#,##0;(#,##0);"-"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,,&quot;백만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NanumGothic"/>
                <a:ea typeface="NanumGothic"/>
                <a:cs typeface="Nanum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be17fac15146b7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6005260c994ac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Assets" displayName="DailyAssets" ref="A1:K8" headerRowCount="1" totalsRowCount="0" totalsRowShown="0">
  <x:tableColumns count="11">
    <x:tableColumn id="1" name="날짜"/>
    <x:tableColumn id="2" name="국내주식 (KRW)"/>
    <x:tableColumn id="3" name="미국주식 (USD)"/>
    <x:tableColumn id="4" name="업비트 자산 (KRW)"/>
    <x:tableColumn id="5" name="USD/KRW 환율"/>
    <x:tableColumn id="6" name="총 보유자산 (KRW)"/>
    <x:tableColumn id="7" name="보유종목 수"/>
    <x:tableColumn id="8" name="자료 상태"/>
    <x:tableColumn id="9" name="환율 기준일"/>
    <x:tableColumn id="10" name="조회·환율 안내"/>
    <x:tableColumn id="11" name="차트 날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Records" displayName="AssetRecords" ref="A1:P5" headerRowCount="1" totalsRowCount="0" totalsRowShown="0">
  <x:tableColumns count="16">
    <x:tableColumn id="1" name="날짜"/>
    <x:tableColumn id="2" name="증권사·거래소"/>
    <x:tableColumn id="3" name="시장"/>
    <x:tableColumn id="4" name="종목코드"/>
    <x:tableColumn id="5" name="종목명"/>
    <x:tableColumn id="6" name="수량"/>
    <x:tableColumn id="7" name="평균매수가"/>
    <x:tableColumn id="8" name="현재가"/>
    <x:tableColumn id="9" name="평가금액"/>
    <x:tableColumn id="10" name="평가손익"/>
    <x:tableColumn id="11" name="수익률"/>
    <x:tableColumn id="12" name="일간 등락률"/>
    <x:tableColumn id="13" name="통화"/>
    <x:tableColumn id="14" name="USD/KRW 환율"/>
    <x:tableColumn id="15" name="원화 환산금액"/>
    <x:tableColumn id="16" name="자료 조회시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rentAssets" displayName="CurrentAssets" ref="A1:P5" headerRowCount="1" totalsRowCount="0" totalsRowShown="0">
  <x:tableColumns count="16">
    <x:tableColumn id="1" name="날짜"/>
    <x:tableColumn id="2" name="증권사·거래소"/>
    <x:tableColumn id="3" name="시장"/>
    <x:tableColumn id="4" name="종목코드"/>
    <x:tableColumn id="5" name="종목명"/>
    <x:tableColumn id="6" name="수량"/>
    <x:tableColumn id="7" name="평균매수가"/>
    <x:tableColumn id="8" name="현재가"/>
    <x:tableColumn id="9" name="평가금액"/>
    <x:tableColumn id="10" name="평가손익"/>
    <x:tableColumn id="11" name="수익률"/>
    <x:tableColumn id="12" name="일간 등락률"/>
    <x:tableColumn id="13" name="통화"/>
    <x:tableColumn id="14" name="USD/KRW 환율"/>
    <x:tableColumn id="15" name="원화 환산금액"/>
    <x:tableColumn id="16" name="자료 조회시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c2828351b045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fcaca8352548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642b9baaa549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a8f93038904f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일별 보유자산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4" customHeight="1">
      <x:c r="A5" s="2" t="str">
        <x:v>기준일</x:v>
      </x:c>
      <x:c r="B5" s="5" t="n">
        <x:f>'일별총액'!A8</x:f>
        <x:v>46291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4" customHeight="1">
      <x:c r="A7" s="2" t="str">
        <x:v>총 보유자산 (원)</x:v>
      </x:c>
      <x:c r="B7" s="2"/>
      <x:c r="C7" s="2"/>
      <x:c r="D7" s="2" t="str">
        <x:v>국내주식 (원)</x:v>
      </x:c>
      <x:c r="E7" s="2"/>
      <x:c r="F7" s="2"/>
      <x:c r="G7" s="2" t="str">
        <x:v>미국주식 (USD)</x:v>
      </x:c>
      <x:c r="H7" s="2"/>
      <x:c r="I7" s="2"/>
      <x:c r="J7" s="2" t="str">
        <x:v>업비트 자산 (원)</x:v>
      </x:c>
      <x:c r="K7" s="2"/>
      <x:c r="L7" s="2"/>
      <x:c r="M7" s="2"/>
      <x:c r="N7" s="2"/>
    </x:row>
    <x:row r="8" ht="24" customHeight="1">
      <x:c r="A8" s="7" t="n">
        <x:f>'일별총액'!F8</x:f>
        <x:v>12515164.8</x:v>
      </x:c>
      <x:c r="B8" s="2"/>
      <x:c r="C8" s="2"/>
      <x:c r="D8" s="7" t="n">
        <x:f>'일별총액'!B8</x:f>
        <x:v>6850000</x:v>
      </x:c>
      <x:c r="E8" s="2"/>
      <x:c r="F8" s="2"/>
      <x:c r="G8" s="7" t="n">
        <x:f>'일별총액'!C8</x:f>
        <x:v>2939.8</x:v>
      </x:c>
      <x:c r="H8" s="2"/>
      <x:c r="I8" s="2"/>
      <x:c r="J8" s="7" t="n">
        <x:f>'일별총액'!D8</x:f>
        <x:v>1620000</x:v>
      </x:c>
      <x:c r="K8" s="2"/>
      <x:c r="L8" s="2"/>
      <x:c r="M8" s="2"/>
      <x:c r="N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4" customHeight="1">
      <x:c r="A10" s="8" t="str">
        <x:v>연결계좌의 주식·업비트 원화·코인 기준. 주식 예수금과 다른 금융자산은 미포함.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</x:row>
    <x:row r="11" ht="24" customHeight="1">
      <x:c r="A11" s="8" t="str">
        <x:v>미국주식은 날짜별 환율로 원화 환산. 조회자료·환율 누락 시 총액은 n.a.로 표시.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pageMargins left="0.7" right="0.7" top="0.75" bottom="0.75" header="0.3" footer="0.3"/>
  <x:drawing xmlns:r="http://schemas.openxmlformats.org/officeDocument/2006/relationships" r:id="R6fc2828351b0458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60" hidden="0" customWidth="1"/>
    <x:col min="11" max="11" width="20" hidden="0" customWidth="1"/>
  </x:cols>
  <x:sheetData>
    <x:row r="1" ht="30" customHeight="1">
      <x:c r="A1" s="14" t="str">
        <x:v>날짜</x:v>
      </x:c>
      <x:c r="B1" s="14" t="str">
        <x:v>국내주식 (KRW)</x:v>
      </x:c>
      <x:c r="C1" s="14" t="str">
        <x:v>미국주식 (USD)</x:v>
      </x:c>
      <x:c r="D1" s="14" t="str">
        <x:v>업비트 자산 (KRW)</x:v>
      </x:c>
      <x:c r="E1" s="14" t="str">
        <x:v>USD/KRW 환율</x:v>
      </x:c>
      <x:c r="F1" s="14" t="str">
        <x:v>총 보유자산 (KRW)</x:v>
      </x:c>
      <x:c r="G1" s="14" t="str">
        <x:v>보유종목 수</x:v>
      </x:c>
      <x:c r="H1" s="14" t="str">
        <x:v>자료 상태</x:v>
      </x:c>
      <x:c r="I1" s="14" t="str">
        <x:v>환율 기준일</x:v>
      </x:c>
      <x:c r="J1" s="14" t="str">
        <x:v>조회·환율 안내</x:v>
      </x:c>
      <x:c r="K1" s="14" t="str">
        <x:v>차트 날짜</x:v>
      </x:c>
    </x:row>
    <x:row r="2" ht="24" customHeight="1">
      <x:c r="A2" s="5" t="d">
        <x:v>2026-09-20T00:00:00.000Z</x:v>
      </x:c>
      <x:c r="B2" s="6" t="n">
        <x:v>6100000</x:v>
      </x:c>
      <x:c r="C2" s="9" t="n">
        <x:v>2500</x:v>
      </x:c>
      <x:c r="D2" s="6" t="n">
        <x:v>1500000</x:v>
      </x:c>
      <x:c r="E2" s="10" t="n">
        <x:v>1370</x:v>
      </x:c>
      <x:c r="F2" s="6" t="n">
        <x:f>IF(H2="자료누락","n.a.",IF(C2=0,SUM(B2,D2),IF(ISNUMBER(E2),SUM(B2,D2,C2*E2),"n.a.")))</x:f>
        <x:v>11025000</x:v>
      </x:c>
      <x:c r="G2" s="11" t="n">
        <x:v>4</x:v>
      </x:c>
      <x:c r="H2" s="2" t="str">
        <x:v>정상</x:v>
      </x:c>
      <x:c r="I2" s="5" t="d">
        <x:v>2026-09-18T00:00:00.000Z</x:v>
      </x:c>
      <x:c r="J2" s="2" t="str">
        <x:v>예시 데이터</x:v>
      </x:c>
      <x:c r="K2" s="2" t="str">
        <x:v>2026-09-20</x:v>
      </x:c>
    </x:row>
    <x:row r="3" ht="24" customHeight="1">
      <x:c r="A3" s="5" t="d">
        <x:v>2026-09-21T00:00:00.000Z</x:v>
      </x:c>
      <x:c r="B3" s="6" t="n">
        <x:v>6225000</x:v>
      </x:c>
      <x:c r="C3" s="9" t="n">
        <x:v>2573.3</x:v>
      </x:c>
      <x:c r="D3" s="6" t="n">
        <x:v>1520000</x:v>
      </x:c>
      <x:c r="E3" s="10" t="n">
        <x:v>1371</x:v>
      </x:c>
      <x:c r="F3" s="6" t="n">
        <x:f>IF(H3="자료누락","n.a.",IF(C3=0,SUM(B3,D3),IF(ISNUMBER(E3),SUM(B3,D3,C3*E3),"n.a.")))</x:f>
        <x:v>11272994.3</x:v>
      </x:c>
      <x:c r="G3" s="11" t="n">
        <x:v>4</x:v>
      </x:c>
      <x:c r="H3" s="2" t="str">
        <x:v>정상</x:v>
      </x:c>
      <x:c r="I3" s="5" t="d">
        <x:v>2026-09-19T00:00:00.000Z</x:v>
      </x:c>
      <x:c r="J3" s="2" t="str">
        <x:v>예시 데이터</x:v>
      </x:c>
      <x:c r="K3" s="2" t="str">
        <x:v>2026-09-21</x:v>
      </x:c>
    </x:row>
    <x:row r="4" ht="24" customHeight="1">
      <x:c r="A4" s="5" t="d">
        <x:v>2026-09-22T00:00:00.000Z</x:v>
      </x:c>
      <x:c r="B4" s="6" t="n">
        <x:v>6350000</x:v>
      </x:c>
      <x:c r="C4" s="9" t="n">
        <x:v>2646.6</x:v>
      </x:c>
      <x:c r="D4" s="6" t="n">
        <x:v>1540000</x:v>
      </x:c>
      <x:c r="E4" s="10" t="n">
        <x:v>1372</x:v>
      </x:c>
      <x:c r="F4" s="6" t="n">
        <x:f>IF(H4="자료누락","n.a.",IF(C4=0,SUM(B4,D4),IF(ISNUMBER(E4),SUM(B4,D4,C4*E4),"n.a.")))</x:f>
        <x:v>11521135.2</x:v>
      </x:c>
      <x:c r="G4" s="11" t="n">
        <x:v>4</x:v>
      </x:c>
      <x:c r="H4" s="2" t="str">
        <x:v>정상</x:v>
      </x:c>
      <x:c r="I4" s="5" t="d">
        <x:v>2026-09-20T00:00:00.000Z</x:v>
      </x:c>
      <x:c r="J4" s="2" t="str">
        <x:v>예시 데이터</x:v>
      </x:c>
      <x:c r="K4" s="2" t="str">
        <x:v>2026-09-22</x:v>
      </x:c>
    </x:row>
    <x:row r="5" ht="24" customHeight="1">
      <x:c r="A5" s="5" t="d">
        <x:v>2026-09-23T00:00:00.000Z</x:v>
      </x:c>
      <x:c r="B5" s="6" t="n">
        <x:v>6475000</x:v>
      </x:c>
      <x:c r="C5" s="9" t="n">
        <x:v>2719.9</x:v>
      </x:c>
      <x:c r="D5" s="6" t="n">
        <x:v>1560000</x:v>
      </x:c>
      <x:c r="E5" s="10" t="n">
        <x:v>1373</x:v>
      </x:c>
      <x:c r="F5" s="6" t="n">
        <x:f>IF(H5="자료누락","n.a.",IF(C5=0,SUM(B5,D5),IF(ISNUMBER(E5),SUM(B5,D5,C5*E5),"n.a.")))</x:f>
        <x:v>11769422.7</x:v>
      </x:c>
      <x:c r="G5" s="11" t="n">
        <x:v>4</x:v>
      </x:c>
      <x:c r="H5" s="2" t="str">
        <x:v>정상</x:v>
      </x:c>
      <x:c r="I5" s="5" t="d">
        <x:v>2026-09-21T00:00:00.000Z</x:v>
      </x:c>
      <x:c r="J5" s="2" t="str">
        <x:v>예시 데이터</x:v>
      </x:c>
      <x:c r="K5" s="2" t="str">
        <x:v>2026-09-23</x:v>
      </x:c>
    </x:row>
    <x:row r="6" ht="24" customHeight="1">
      <x:c r="A6" s="5" t="d">
        <x:v>2026-09-24T00:00:00.000Z</x:v>
      </x:c>
      <x:c r="B6" s="6" t="n">
        <x:v>6600000</x:v>
      </x:c>
      <x:c r="C6" s="9" t="n">
        <x:v>2793.2</x:v>
      </x:c>
      <x:c r="D6" s="6" t="n">
        <x:v>1580000</x:v>
      </x:c>
      <x:c r="E6" s="10" t="n">
        <x:v>1374</x:v>
      </x:c>
      <x:c r="F6" s="6" t="n">
        <x:f>IF(H6="자료누락","n.a.",IF(C6=0,SUM(B6,D6),IF(ISNUMBER(E6),SUM(B6,D6,C6*E6),"n.a.")))</x:f>
        <x:v>12017856.8</x:v>
      </x:c>
      <x:c r="G6" s="11" t="n">
        <x:v>4</x:v>
      </x:c>
      <x:c r="H6" s="2" t="str">
        <x:v>정상</x:v>
      </x:c>
      <x:c r="I6" s="5" t="d">
        <x:v>2026-09-22T00:00:00.000Z</x:v>
      </x:c>
      <x:c r="J6" s="2" t="str">
        <x:v>예시 데이터</x:v>
      </x:c>
      <x:c r="K6" s="2" t="str">
        <x:v>2026-09-24</x:v>
      </x:c>
    </x:row>
    <x:row r="7" ht="24" customHeight="1">
      <x:c r="A7" s="5" t="d">
        <x:v>2026-09-25T00:00:00.000Z</x:v>
      </x:c>
      <x:c r="B7" s="6" t="n">
        <x:v>6725000</x:v>
      </x:c>
      <x:c r="C7" s="9" t="n">
        <x:v>2866.5</x:v>
      </x:c>
      <x:c r="D7" s="6" t="n">
        <x:v>1600000</x:v>
      </x:c>
      <x:c r="E7" s="10" t="n">
        <x:v>1375</x:v>
      </x:c>
      <x:c r="F7" s="6" t="n">
        <x:f>IF(H7="자료누락","n.a.",IF(C7=0,SUM(B7,D7),IF(ISNUMBER(E7),SUM(B7,D7,C7*E7),"n.a.")))</x:f>
        <x:v>12266437.5</x:v>
      </x:c>
      <x:c r="G7" s="11" t="n">
        <x:v>4</x:v>
      </x:c>
      <x:c r="H7" s="2" t="str">
        <x:v>정상</x:v>
      </x:c>
      <x:c r="I7" s="5" t="d">
        <x:v>2026-09-23T00:00:00.000Z</x:v>
      </x:c>
      <x:c r="J7" s="2" t="str">
        <x:v>예시 데이터</x:v>
      </x:c>
      <x:c r="K7" s="2" t="str">
        <x:v>2026-09-25</x:v>
      </x:c>
    </x:row>
    <x:row r="8" ht="24" customHeight="1">
      <x:c r="A8" s="5" t="d">
        <x:v>2026-09-26T00:00:00.000Z</x:v>
      </x:c>
      <x:c r="B8" s="6" t="n">
        <x:v>6850000</x:v>
      </x:c>
      <x:c r="C8" s="9" t="n">
        <x:v>2939.8</x:v>
      </x:c>
      <x:c r="D8" s="6" t="n">
        <x:v>1620000</x:v>
      </x:c>
      <x:c r="E8" s="10" t="n">
        <x:v>1376</x:v>
      </x:c>
      <x:c r="F8" s="6" t="n">
        <x:f>IF(H8="자료누락","n.a.",IF(C8=0,SUM(B8,D8),IF(ISNUMBER(E8),SUM(B8,D8,C8*E8),"n.a.")))</x:f>
        <x:v>12515164.8</x:v>
      </x:c>
      <x:c r="G8" s="11" t="n">
        <x:v>4</x:v>
      </x:c>
      <x:c r="H8" s="2" t="str">
        <x:v>정상</x:v>
      </x:c>
      <x:c r="I8" s="5" t="d">
        <x:v>2026-09-24T00:00:00.000Z</x:v>
      </x:c>
      <x:c r="J8" s="2" t="str">
        <x:v>예시 데이터</x:v>
      </x:c>
      <x:c r="K8" s="2" t="str">
        <x:v>2026-09-26</x:v>
      </x:c>
    </x:row>
  </x:sheetData>
  <x:pageMargins left="0.7" right="0.7" top="0.75" bottom="0.75" header="0.3" footer="0.3"/>
  <x:tableParts count="1">
    <x:tablePart xmlns:r="http://schemas.openxmlformats.org/officeDocument/2006/relationships" r:id="Re7fcaca8352548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</x:cols>
  <x:sheetData>
    <x:row r="1" ht="30" customHeight="1">
      <x:c r="A1" s="14" t="str">
        <x:v>날짜</x:v>
      </x:c>
      <x:c r="B1" s="14" t="str">
        <x:v>증권사·거래소</x:v>
      </x:c>
      <x:c r="C1" s="14" t="str">
        <x:v>시장</x:v>
      </x:c>
      <x:c r="D1" s="14" t="str">
        <x:v>종목코드</x:v>
      </x:c>
      <x:c r="E1" s="14" t="str">
        <x:v>종목명</x:v>
      </x:c>
      <x:c r="F1" s="14" t="str">
        <x:v>수량</x:v>
      </x:c>
      <x:c r="G1" s="14" t="str">
        <x:v>평균매수가</x:v>
      </x:c>
      <x:c r="H1" s="14" t="str">
        <x:v>현재가</x:v>
      </x:c>
      <x:c r="I1" s="14" t="str">
        <x:v>평가금액</x:v>
      </x:c>
      <x:c r="J1" s="14" t="str">
        <x:v>평가손익</x:v>
      </x:c>
      <x:c r="K1" s="14" t="str">
        <x:v>수익률</x:v>
      </x:c>
      <x:c r="L1" s="14" t="str">
        <x:v>일간 등락률</x:v>
      </x:c>
      <x:c r="M1" s="14" t="str">
        <x:v>통화</x:v>
      </x:c>
      <x:c r="N1" s="14" t="str">
        <x:v>USD/KRW 환율</x:v>
      </x:c>
      <x:c r="O1" s="14" t="str">
        <x:v>원화 환산금액</x:v>
      </x:c>
      <x:c r="P1" s="14" t="str">
        <x:v>자료 조회시각</x:v>
      </x:c>
    </x:row>
    <x:row r="2" ht="24" customHeight="1">
      <x:c r="A2" s="5" t="n">
        <x:v>46291</x:v>
      </x:c>
      <x:c r="B2" s="2" t="str">
        <x:v>한국투자증권</x:v>
      </x:c>
      <x:c r="C2" s="2" t="str">
        <x:v>국내</x:v>
      </x:c>
      <x:c r="D2" s="17" t="str">
        <x:v>005930</x:v>
      </x:c>
      <x:c r="E2" s="2" t="str">
        <x:v>삼성전자</x:v>
      </x:c>
      <x:c r="F2" s="15" t="n">
        <x:v>50</x:v>
      </x:c>
      <x:c r="G2" s="6" t="n">
        <x:v>62000</x:v>
      </x:c>
      <x:c r="H2" s="6" t="n">
        <x:v>72000</x:v>
      </x:c>
      <x:c r="I2" s="6" t="n">
        <x:v>3600000</x:v>
      </x:c>
      <x:c r="J2" s="6" t="n">
        <x:v>500000</x:v>
      </x:c>
      <x:c r="K2" s="16" t="n">
        <x:v>0.1613</x:v>
      </x:c>
      <x:c r="L2" s="16" t="n">
        <x:v>0.0141</x:v>
      </x:c>
      <x:c r="M2" s="2" t="str">
        <x:v>KRW</x:v>
      </x:c>
      <x:c r="N2" s="10" t="n">
        <x:v>1376</x:v>
      </x:c>
      <x:c r="O2" s="6" t="n">
        <x:f>IF(M2="KRW",I2,IF(ISNUMBER(N2),I2*N2,"n.a."))</x:f>
        <x:v>3600000</x:v>
      </x:c>
      <x:c r="P2" s="2" t="d">
        <x:v>2026-09-25T22:10:00.000Z</x:v>
      </x:c>
    </x:row>
    <x:row r="3" ht="24" customHeight="1">
      <x:c r="A3" s="5" t="n">
        <x:v>46291</x:v>
      </x:c>
      <x:c r="B3" s="2" t="str">
        <x:v>토스증권</x:v>
      </x:c>
      <x:c r="C3" s="2" t="str">
        <x:v>국내</x:v>
      </x:c>
      <x:c r="D3" s="17" t="str">
        <x:v>000660</x:v>
      </x:c>
      <x:c r="E3" s="2" t="str">
        <x:v>SK하이닉스</x:v>
      </x:c>
      <x:c r="F3" s="15" t="n">
        <x:v>10</x:v>
      </x:c>
      <x:c r="G3" s="6" t="n">
        <x:v>290000</x:v>
      </x:c>
      <x:c r="H3" s="6" t="n">
        <x:v>325000</x:v>
      </x:c>
      <x:c r="I3" s="6" t="n">
        <x:v>3250000</x:v>
      </x:c>
      <x:c r="J3" s="6" t="n">
        <x:v>350000</x:v>
      </x:c>
      <x:c r="K3" s="16" t="n">
        <x:v>0.1207</x:v>
      </x:c>
      <x:c r="L3" s="16" t="n">
        <x:v>-0.006</x:v>
      </x:c>
      <x:c r="M3" s="2" t="str">
        <x:v>KRW</x:v>
      </x:c>
      <x:c r="N3" s="10" t="n">
        <x:v>1376</x:v>
      </x:c>
      <x:c r="O3" s="6" t="n">
        <x:f>IF(M3="KRW",I3,IF(ISNUMBER(N3),I3*N3,"n.a."))</x:f>
        <x:v>3250000</x:v>
      </x:c>
      <x:c r="P3" s="2" t="d">
        <x:v>2026-09-25T22:10:00.000Z</x:v>
      </x:c>
    </x:row>
    <x:row r="4" ht="24" customHeight="1">
      <x:c r="A4" s="5" t="n">
        <x:v>46291</x:v>
      </x:c>
      <x:c r="B4" s="2" t="str">
        <x:v>토스증권</x:v>
      </x:c>
      <x:c r="C4" s="2" t="str">
        <x:v>미국</x:v>
      </x:c>
      <x:c r="D4" s="17" t="str">
        <x:v>AAPL</x:v>
      </x:c>
      <x:c r="E4" s="2" t="str">
        <x:v>Apple</x:v>
      </x:c>
      <x:c r="F4" s="15" t="n">
        <x:v>10</x:v>
      </x:c>
      <x:c r="G4" s="6" t="n">
        <x:v>260</x:v>
      </x:c>
      <x:c r="H4" s="6" t="n">
        <x:v>294</x:v>
      </x:c>
      <x:c r="I4" s="6" t="n">
        <x:v>2940</x:v>
      </x:c>
      <x:c r="J4" s="6" t="n">
        <x:v>340</x:v>
      </x:c>
      <x:c r="K4" s="16" t="n">
        <x:v>0.1308</x:v>
      </x:c>
      <x:c r="L4" s="16" t="n">
        <x:v>0.008</x:v>
      </x:c>
      <x:c r="M4" s="2" t="str">
        <x:v>USD</x:v>
      </x:c>
      <x:c r="N4" s="10" t="n">
        <x:v>1376</x:v>
      </x:c>
      <x:c r="O4" s="6" t="n">
        <x:f>IF(M4="KRW",I4,IF(ISNUMBER(N4),I4*N4,"n.a."))</x:f>
        <x:v>4045440</x:v>
      </x:c>
      <x:c r="P4" s="2" t="d">
        <x:v>2026-09-25T22:10:00.000Z</x:v>
      </x:c>
    </x:row>
    <x:row r="5" ht="24" customHeight="1">
      <x:c r="A5" s="5" t="n">
        <x:v>46291</x:v>
      </x:c>
      <x:c r="B5" s="2" t="str">
        <x:v>업비트</x:v>
      </x:c>
      <x:c r="C5" s="2" t="str">
        <x:v>코인</x:v>
      </x:c>
      <x:c r="D5" s="17" t="str">
        <x:v>BTC</x:v>
      </x:c>
      <x:c r="E5" s="2" t="str">
        <x:v>BTC</x:v>
      </x:c>
      <x:c r="F5" s="15" t="n">
        <x:v>0.01</x:v>
      </x:c>
      <x:c r="G5" s="6" t="n">
        <x:v>130000000</x:v>
      </x:c>
      <x:c r="H5" s="6" t="n">
        <x:v>140000000</x:v>
      </x:c>
      <x:c r="I5" s="6" t="n">
        <x:v>1400000</x:v>
      </x:c>
      <x:c r="J5" s="6" t="n">
        <x:v>100000</x:v>
      </x:c>
      <x:c r="K5" s="16" t="n">
        <x:v>0.0769</x:v>
      </x:c>
      <x:c r="L5" s="16" t="n">
        <x:v>0.01</x:v>
      </x:c>
      <x:c r="M5" s="2" t="str">
        <x:v>KRW</x:v>
      </x:c>
      <x:c r="N5" s="10" t="n">
        <x:v>1376</x:v>
      </x:c>
      <x:c r="O5" s="6" t="n">
        <x:f>IF(M5="KRW",I5,IF(ISNUMBER(N5),I5*N5,"n.a."))</x:f>
        <x:v>1400000</x:v>
      </x:c>
      <x:c r="P5" s="2" t="d">
        <x:v>2026-09-25T22:10:00.000Z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90642b9baaa549f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</x:cols>
  <x:sheetData>
    <x:row r="1" ht="30" customHeight="1">
      <x:c r="A1" s="14" t="str">
        <x:v>날짜</x:v>
      </x:c>
      <x:c r="B1" s="14" t="str">
        <x:v>증권사·거래소</x:v>
      </x:c>
      <x:c r="C1" s="14" t="str">
        <x:v>시장</x:v>
      </x:c>
      <x:c r="D1" s="14" t="str">
        <x:v>종목코드</x:v>
      </x:c>
      <x:c r="E1" s="14" t="str">
        <x:v>종목명</x:v>
      </x:c>
      <x:c r="F1" s="14" t="str">
        <x:v>수량</x:v>
      </x:c>
      <x:c r="G1" s="14" t="str">
        <x:v>평균매수가</x:v>
      </x:c>
      <x:c r="H1" s="14" t="str">
        <x:v>현재가</x:v>
      </x:c>
      <x:c r="I1" s="14" t="str">
        <x:v>평가금액</x:v>
      </x:c>
      <x:c r="J1" s="14" t="str">
        <x:v>평가손익</x:v>
      </x:c>
      <x:c r="K1" s="14" t="str">
        <x:v>수익률</x:v>
      </x:c>
      <x:c r="L1" s="14" t="str">
        <x:v>일간 등락률</x:v>
      </x:c>
      <x:c r="M1" s="14" t="str">
        <x:v>통화</x:v>
      </x:c>
      <x:c r="N1" s="14" t="str">
        <x:v>USD/KRW 환율</x:v>
      </x:c>
      <x:c r="O1" s="14" t="str">
        <x:v>원화 환산금액</x:v>
      </x:c>
      <x:c r="P1" s="14" t="str">
        <x:v>자료 조회시각</x:v>
      </x:c>
    </x:row>
    <x:row r="2" ht="24" customHeight="1">
      <x:c r="A2" s="5" t="n">
        <x:v>46291</x:v>
      </x:c>
      <x:c r="B2" s="2" t="str">
        <x:v>한국투자증권</x:v>
      </x:c>
      <x:c r="C2" s="2" t="str">
        <x:v>국내</x:v>
      </x:c>
      <x:c r="D2" s="17" t="str">
        <x:v>005930</x:v>
      </x:c>
      <x:c r="E2" s="2" t="str">
        <x:v>삼성전자</x:v>
      </x:c>
      <x:c r="F2" s="15" t="n">
        <x:v>50</x:v>
      </x:c>
      <x:c r="G2" s="6" t="n">
        <x:v>62000</x:v>
      </x:c>
      <x:c r="H2" s="6" t="n">
        <x:v>72000</x:v>
      </x:c>
      <x:c r="I2" s="6" t="n">
        <x:v>3600000</x:v>
      </x:c>
      <x:c r="J2" s="6" t="n">
        <x:v>500000</x:v>
      </x:c>
      <x:c r="K2" s="16" t="n">
        <x:v>0.1613</x:v>
      </x:c>
      <x:c r="L2" s="16" t="n">
        <x:v>0.0141</x:v>
      </x:c>
      <x:c r="M2" s="2" t="str">
        <x:v>KRW</x:v>
      </x:c>
      <x:c r="N2" s="10" t="n">
        <x:v>1376</x:v>
      </x:c>
      <x:c r="O2" s="6" t="n">
        <x:f>IF(M2="KRW",I2,IF(ISNUMBER(N2),I2*N2,"n.a."))</x:f>
        <x:v>3600000</x:v>
      </x:c>
      <x:c r="P2" s="2" t="d">
        <x:v>2026-09-25T22:10:00.000Z</x:v>
      </x:c>
    </x:row>
    <x:row r="3" ht="24" customHeight="1">
      <x:c r="A3" s="5" t="n">
        <x:v>46291</x:v>
      </x:c>
      <x:c r="B3" s="2" t="str">
        <x:v>토스증권</x:v>
      </x:c>
      <x:c r="C3" s="2" t="str">
        <x:v>국내</x:v>
      </x:c>
      <x:c r="D3" s="17" t="str">
        <x:v>000660</x:v>
      </x:c>
      <x:c r="E3" s="2" t="str">
        <x:v>SK하이닉스</x:v>
      </x:c>
      <x:c r="F3" s="15" t="n">
        <x:v>10</x:v>
      </x:c>
      <x:c r="G3" s="6" t="n">
        <x:v>290000</x:v>
      </x:c>
      <x:c r="H3" s="6" t="n">
        <x:v>325000</x:v>
      </x:c>
      <x:c r="I3" s="6" t="n">
        <x:v>3250000</x:v>
      </x:c>
      <x:c r="J3" s="6" t="n">
        <x:v>350000</x:v>
      </x:c>
      <x:c r="K3" s="16" t="n">
        <x:v>0.1207</x:v>
      </x:c>
      <x:c r="L3" s="16" t="n">
        <x:v>-0.006</x:v>
      </x:c>
      <x:c r="M3" s="2" t="str">
        <x:v>KRW</x:v>
      </x:c>
      <x:c r="N3" s="10" t="n">
        <x:v>1376</x:v>
      </x:c>
      <x:c r="O3" s="6" t="n">
        <x:f>IF(M3="KRW",I3,IF(ISNUMBER(N3),I3*N3,"n.a."))</x:f>
        <x:v>3250000</x:v>
      </x:c>
      <x:c r="P3" s="2" t="d">
        <x:v>2026-09-25T22:10:00.000Z</x:v>
      </x:c>
    </x:row>
    <x:row r="4" ht="24" customHeight="1">
      <x:c r="A4" s="5" t="n">
        <x:v>46291</x:v>
      </x:c>
      <x:c r="B4" s="2" t="str">
        <x:v>토스증권</x:v>
      </x:c>
      <x:c r="C4" s="2" t="str">
        <x:v>미국</x:v>
      </x:c>
      <x:c r="D4" s="17" t="str">
        <x:v>AAPL</x:v>
      </x:c>
      <x:c r="E4" s="2" t="str">
        <x:v>Apple</x:v>
      </x:c>
      <x:c r="F4" s="15" t="n">
        <x:v>10</x:v>
      </x:c>
      <x:c r="G4" s="6" t="n">
        <x:v>260</x:v>
      </x:c>
      <x:c r="H4" s="6" t="n">
        <x:v>294</x:v>
      </x:c>
      <x:c r="I4" s="6" t="n">
        <x:v>2940</x:v>
      </x:c>
      <x:c r="J4" s="6" t="n">
        <x:v>340</x:v>
      </x:c>
      <x:c r="K4" s="16" t="n">
        <x:v>0.1308</x:v>
      </x:c>
      <x:c r="L4" s="16" t="n">
        <x:v>0.008</x:v>
      </x:c>
      <x:c r="M4" s="2" t="str">
        <x:v>USD</x:v>
      </x:c>
      <x:c r="N4" s="10" t="n">
        <x:v>1376</x:v>
      </x:c>
      <x:c r="O4" s="6" t="n">
        <x:f>IF(M4="KRW",I4,IF(ISNUMBER(N4),I4*N4,"n.a."))</x:f>
        <x:v>4045440</x:v>
      </x:c>
      <x:c r="P4" s="2" t="d">
        <x:v>2026-09-25T22:10:00.000Z</x:v>
      </x:c>
    </x:row>
    <x:row r="5" ht="24" customHeight="1">
      <x:c r="A5" s="5" t="n">
        <x:v>46291</x:v>
      </x:c>
      <x:c r="B5" s="2" t="str">
        <x:v>업비트</x:v>
      </x:c>
      <x:c r="C5" s="2" t="str">
        <x:v>코인</x:v>
      </x:c>
      <x:c r="D5" s="17" t="str">
        <x:v>BTC</x:v>
      </x:c>
      <x:c r="E5" s="2" t="str">
        <x:v>BTC</x:v>
      </x:c>
      <x:c r="F5" s="15" t="n">
        <x:v>0.01</x:v>
      </x:c>
      <x:c r="G5" s="6" t="n">
        <x:v>130000000</x:v>
      </x:c>
      <x:c r="H5" s="6" t="n">
        <x:v>140000000</x:v>
      </x:c>
      <x:c r="I5" s="6" t="n">
        <x:v>1400000</x:v>
      </x:c>
      <x:c r="J5" s="6" t="n">
        <x:v>100000</x:v>
      </x:c>
      <x:c r="K5" s="16" t="n">
        <x:v>0.0769</x:v>
      </x:c>
      <x:c r="L5" s="16" t="n">
        <x:v>0.01</x:v>
      </x:c>
      <x:c r="M5" s="2" t="str">
        <x:v>KRW</x:v>
      </x:c>
      <x:c r="N5" s="10" t="n">
        <x:v>1376</x:v>
      </x:c>
      <x:c r="O5" s="6" t="n">
        <x:f>IF(M5="KRW",I5,IF(ISNUMBER(N5),I5*N5,"n.a."))</x:f>
        <x:v>1400000</x:v>
      </x:c>
      <x:c r="P5" s="2" t="d">
        <x:v>2026-09-25T22:10:00.000Z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11a8f93038904f99"/>
  </x:tableParts>
</x:worksheet>
</file>